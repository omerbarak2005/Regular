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nancial Model" sheetId="2" state="visible" r:id="rId2"/>
    <sheet name="Comparable Transactions" sheetId="3" state="visible" r:id="rId3"/>
    <sheet name="Buyer Targets" sheetId="4" state="visible" r:id="rId4"/>
    <sheet name="ROFR Strategy" sheetId="5" state="visible" r:id="rId5"/>
    <sheet name="Outreach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FF0000"/>
      <sz val="10"/>
    </font>
    <font>
      <name val="Calibri"/>
      <i val="1"/>
      <color rgb="007F7F7F"/>
      <sz val="8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color rgb="009C0006"/>
      <sz val="10"/>
    </font>
    <font>
      <name val="Calibri"/>
      <i val="1"/>
      <color rgb="00595959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2F5496"/>
      </patternFill>
    </fill>
    <fill>
      <patternFill patternType="solid">
        <fgColor rgb="007F6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</cols>
  <sheetData>
    <row r="1" ht="28" customHeight="1">
      <c r="A1" s="1" t="inlineStr">
        <is>
          <t>PROJECT ALPINE — CONFIDENTIAL INFORMATION MEMORANDUM</t>
        </is>
      </c>
    </row>
    <row r="2" ht="20" customHeight="1">
      <c r="A2" s="2" t="inlineStr">
        <is>
          <t>35-Unit Dutch Bros Coffee Franchise Portfolio | Pacific Northwest | Paulson Investment Company</t>
        </is>
      </c>
    </row>
    <row r="3">
      <c r="A3" s="3" t="inlineStr">
        <is>
          <t>DEAL PARAMETER</t>
        </is>
      </c>
      <c r="B3" s="3" t="inlineStr">
        <is>
          <t>VALUE / DETAIL</t>
        </is>
      </c>
    </row>
    <row r="4">
      <c r="A4" s="4" t="inlineStr">
        <is>
          <t>Project Name</t>
        </is>
      </c>
      <c r="B4" s="5" t="inlineStr">
        <is>
          <t>Project Alpine  (CONFIDENTIAL)</t>
        </is>
      </c>
    </row>
    <row r="5">
      <c r="A5" s="6" t="inlineStr">
        <is>
          <t>Asset</t>
        </is>
      </c>
      <c r="B5" s="7" t="inlineStr">
        <is>
          <t>35-Unit Dutch Bros Coffee Franchise Portfolio — Pacific Northwest</t>
        </is>
      </c>
    </row>
    <row r="6">
      <c r="A6" s="4" t="inlineStr">
        <is>
          <t>Revenue (TTM)</t>
        </is>
      </c>
      <c r="B6" s="5" t="inlineStr">
        <is>
          <t>$70M+</t>
        </is>
      </c>
    </row>
    <row r="7">
      <c r="A7" s="6" t="inlineStr">
        <is>
          <t>Adj. EBITDA (TTM)</t>
        </is>
      </c>
      <c r="B7" s="7" t="inlineStr">
        <is>
          <t>$13.5M</t>
        </is>
      </c>
    </row>
    <row r="8">
      <c r="A8" s="4" t="inlineStr">
        <is>
          <t>EBITDA Margin</t>
        </is>
      </c>
      <c r="B8" s="5" t="inlineStr">
        <is>
          <t>18.5%</t>
        </is>
      </c>
    </row>
    <row r="9">
      <c r="A9" s="6" t="inlineStr">
        <is>
          <t>Units</t>
        </is>
      </c>
      <c r="B9" s="7" t="inlineStr">
        <is>
          <t>35 licensed drive-through locations</t>
        </is>
      </c>
    </row>
    <row r="10">
      <c r="A10" s="4" t="inlineStr">
        <is>
          <t>Expansion Potential</t>
        </is>
      </c>
      <c r="B10" s="5" t="inlineStr">
        <is>
          <t>5–7 additional sites within 1-mile of existing</t>
        </is>
      </c>
    </row>
    <row r="11">
      <c r="A11" s="8" t="inlineStr">
        <is>
          <t>Corporate Offer</t>
        </is>
      </c>
      <c r="B11" s="9" t="inlineStr">
        <is>
          <t>4.0x EBITDA (~$54M) — REJECTED</t>
        </is>
      </c>
    </row>
    <row r="12">
      <c r="A12" s="8" t="inlineStr">
        <is>
          <t>Arizona Comp (May 2026)</t>
        </is>
      </c>
      <c r="B12" s="9" t="inlineStr">
        <is>
          <t>4.5x (29 units) — retirement discount, not market rate</t>
        </is>
      </c>
    </row>
    <row r="13">
      <c r="A13" s="10" t="inlineStr">
        <is>
          <t>Ask</t>
        </is>
      </c>
      <c r="B13" s="10" t="inlineStr">
        <is>
          <t>7.0x–8.0x EBITDA  ($94.5M–$108M)</t>
        </is>
      </c>
    </row>
    <row r="14">
      <c r="A14" s="4" t="inlineStr">
        <is>
          <t>NTM EBITDA (w/ new units)</t>
        </is>
      </c>
      <c r="B14" s="5" t="inlineStr">
        <is>
          <t>~$16.5M  (→ 7x looks like 5.7x forward)</t>
        </is>
      </c>
    </row>
    <row r="15">
      <c r="A15" s="6" t="inlineStr">
        <is>
          <t>ROFR Status</t>
        </is>
      </c>
      <c r="B15" s="7" t="inlineStr">
        <is>
          <t>Dutch Bros has ROFR — stated will NOT match 6-8x in writing</t>
        </is>
      </c>
    </row>
    <row r="16">
      <c r="A16" s="11" t="inlineStr">
        <is>
          <t>Strategy</t>
        </is>
      </c>
      <c r="B16" s="12" t="inlineStr">
        <is>
          <t>Stalking horse LOI at 7x + 3% break-up fee → forces ROFR decision</t>
        </is>
      </c>
    </row>
    <row r="17">
      <c r="A17" s="6" t="inlineStr">
        <is>
          <t>Advisor</t>
        </is>
      </c>
      <c r="B17" s="7" t="inlineStr">
        <is>
          <t>Jim O'Donnell, MD  |  Paulson Investment Company</t>
        </is>
      </c>
    </row>
    <row r="18">
      <c r="A18" s="4" t="inlineStr">
        <is>
          <t>Status</t>
        </is>
      </c>
      <c r="B18" s="13" t="inlineStr">
        <is>
          <t>ACTIVE — seeking LOI</t>
        </is>
      </c>
    </row>
    <row r="20">
      <c r="A20" s="14" t="inlineStr">
        <is>
          <t>STRICTLY CONFIDENTIAL — This document is intended solely for the named recipient. Distribution without written consent of Paulson Investment Company is prohibited.</t>
        </is>
      </c>
    </row>
  </sheetData>
  <mergeCells count="3">
    <mergeCell ref="A20:B20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22" customWidth="1" min="4" max="4"/>
    <col width="18" customWidth="1" min="5" max="5"/>
    <col width="22" customWidth="1" min="6" max="6"/>
  </cols>
  <sheetData>
    <row r="1" ht="26" customHeight="1">
      <c r="A1" s="15" t="inlineStr">
        <is>
          <t>PROJECT ALPINE — FINANCIAL MODEL</t>
        </is>
      </c>
    </row>
    <row r="2">
      <c r="A2" s="16" t="inlineStr">
        <is>
          <t>SECTION A — UNIT ECONOMICS (PER STORE &amp; 35-UNIT PORTFOLIO)</t>
        </is>
      </c>
      <c r="B2" s="17" t="n"/>
      <c r="C2" s="17" t="n"/>
      <c r="D2" s="18" t="n"/>
    </row>
    <row r="3">
      <c r="A3" s="19" t="inlineStr">
        <is>
          <t>Line Item</t>
        </is>
      </c>
      <c r="B3" s="19" t="inlineStr">
        <is>
          <t>% of Revenue</t>
        </is>
      </c>
      <c r="C3" s="19" t="inlineStr">
        <is>
          <t>Per Unit ($)</t>
        </is>
      </c>
      <c r="D3" s="19" t="inlineStr">
        <is>
          <t>35-Unit Total ($)</t>
        </is>
      </c>
    </row>
    <row r="4">
      <c r="A4" s="4" t="inlineStr">
        <is>
          <t>Revenue</t>
        </is>
      </c>
      <c r="B4" s="20" t="inlineStr">
        <is>
          <t>100.0%</t>
        </is>
      </c>
      <c r="C4" s="21" t="n">
        <v>2000000</v>
      </c>
      <c r="D4" s="21" t="n">
        <v>70000000</v>
      </c>
    </row>
    <row r="5">
      <c r="A5" s="7" t="inlineStr">
        <is>
          <t>COGS (coffee, food, supplies)</t>
        </is>
      </c>
      <c r="B5" s="22" t="inlineStr">
        <is>
          <t xml:space="preserve"> 34.0%</t>
        </is>
      </c>
      <c r="C5" s="23" t="n">
        <v>680000</v>
      </c>
      <c r="D5" s="23" t="n">
        <v>23800000</v>
      </c>
    </row>
    <row r="6">
      <c r="A6" s="24" t="inlineStr">
        <is>
          <t>Gross Profit</t>
        </is>
      </c>
      <c r="B6" s="25" t="inlineStr">
        <is>
          <t xml:space="preserve"> 66.0%</t>
        </is>
      </c>
      <c r="C6" s="26" t="n">
        <v>1320000</v>
      </c>
      <c r="D6" s="26" t="n">
        <v>46200000</v>
      </c>
    </row>
    <row r="7">
      <c r="A7" s="7" t="inlineStr">
        <is>
          <t>Labor</t>
        </is>
      </c>
      <c r="B7" s="22" t="inlineStr">
        <is>
          <t xml:space="preserve"> 30.0%</t>
        </is>
      </c>
      <c r="C7" s="23" t="n">
        <v>600000</v>
      </c>
      <c r="D7" s="23" t="n">
        <v>21000000</v>
      </c>
    </row>
    <row r="8">
      <c r="A8" s="5" t="inlineStr">
        <is>
          <t>Rent / Occupancy</t>
        </is>
      </c>
      <c r="B8" s="27" t="inlineStr">
        <is>
          <t xml:space="preserve">  8.0%</t>
        </is>
      </c>
      <c r="C8" s="28" t="n">
        <v>160000</v>
      </c>
      <c r="D8" s="28" t="n">
        <v>5600000</v>
      </c>
    </row>
    <row r="9">
      <c r="A9" s="7" t="inlineStr">
        <is>
          <t>Corporate Royalties (5% of rev)</t>
        </is>
      </c>
      <c r="B9" s="22" t="inlineStr">
        <is>
          <t xml:space="preserve">  5.0%</t>
        </is>
      </c>
      <c r="C9" s="23" t="n">
        <v>100000</v>
      </c>
      <c r="D9" s="23" t="n">
        <v>3500000</v>
      </c>
    </row>
    <row r="10">
      <c r="A10" s="5" t="inlineStr">
        <is>
          <t>Marketing Fund (1% of rev)</t>
        </is>
      </c>
      <c r="B10" s="27" t="inlineStr">
        <is>
          <t xml:space="preserve">  1.0%</t>
        </is>
      </c>
      <c r="C10" s="28" t="n">
        <v>20000</v>
      </c>
      <c r="D10" s="28" t="n">
        <v>700000</v>
      </c>
    </row>
    <row r="11">
      <c r="A11" s="7" t="inlineStr">
        <is>
          <t>Other OpEx (utilities/insurance/maint)</t>
        </is>
      </c>
      <c r="B11" s="22" t="inlineStr">
        <is>
          <t xml:space="preserve">  3.5%</t>
        </is>
      </c>
      <c r="C11" s="23" t="n">
        <v>70000</v>
      </c>
      <c r="D11" s="23" t="n">
        <v>2450000</v>
      </c>
    </row>
    <row r="12">
      <c r="A12" s="24" t="inlineStr">
        <is>
          <t>EBITDA</t>
        </is>
      </c>
      <c r="B12" s="25" t="inlineStr">
        <is>
          <t xml:space="preserve"> 18.5%</t>
        </is>
      </c>
      <c r="C12" s="26" t="n">
        <v>370000</v>
      </c>
      <c r="D12" s="26" t="n">
        <v>12950000</v>
      </c>
    </row>
    <row r="13">
      <c r="A13" s="7" t="inlineStr">
        <is>
          <t>Mgmt Fee / G&amp;A</t>
        </is>
      </c>
      <c r="B13" s="22" t="inlineStr">
        <is>
          <t xml:space="preserve">  1.5%</t>
        </is>
      </c>
      <c r="C13" s="23" t="n">
        <v>30000</v>
      </c>
      <c r="D13" s="23" t="n">
        <v>1050000</v>
      </c>
    </row>
    <row r="14">
      <c r="A14" s="24" t="inlineStr">
        <is>
          <t>Adjusted EBITDA</t>
        </is>
      </c>
      <c r="B14" s="25" t="inlineStr">
        <is>
          <t xml:space="preserve"> 17.0%</t>
        </is>
      </c>
      <c r="C14" s="26" t="n">
        <v>340000</v>
      </c>
      <c r="D14" s="26" t="n">
        <v>11900000</v>
      </c>
    </row>
    <row r="15">
      <c r="A15" s="29" t="inlineStr">
        <is>
          <t xml:space="preserve">  NOTE: Adjusted EBITDA range $11.9M–$13.5M depending on unit mix. Several units exceed $2.2M AUV (above system avg), pulling portfolio total to $13.5M+ range.</t>
        </is>
      </c>
    </row>
    <row r="17">
      <c r="A17" s="16" t="inlineStr">
        <is>
          <t>SECTION B — 5-YEAR PROJECTION</t>
        </is>
      </c>
      <c r="B17" s="17" t="n"/>
      <c r="C17" s="17" t="n"/>
      <c r="D17" s="17" t="n"/>
      <c r="E17" s="17" t="n"/>
      <c r="F17" s="18" t="n"/>
    </row>
    <row r="18">
      <c r="A18" s="19" t="inlineStr">
        <is>
          <t>Year</t>
        </is>
      </c>
      <c r="B18" s="19" t="inlineStr">
        <is>
          <t>Units</t>
        </is>
      </c>
      <c r="C18" s="19" t="inlineStr">
        <is>
          <t>Revenue ($M)</t>
        </is>
      </c>
      <c r="D18" s="19" t="inlineStr">
        <is>
          <t>EBITDA ($M)</t>
        </is>
      </c>
      <c r="E18" s="19" t="inlineStr">
        <is>
          <t>EBITDA Margin</t>
        </is>
      </c>
      <c r="F18" s="19" t="inlineStr">
        <is>
          <t>Cumul. New Units</t>
        </is>
      </c>
    </row>
    <row r="19">
      <c r="A19" s="30" t="inlineStr">
        <is>
          <t>Year 1 (Current)</t>
        </is>
      </c>
      <c r="B19" s="31" t="n">
        <v>35</v>
      </c>
      <c r="C19" s="32" t="n">
        <v>70</v>
      </c>
      <c r="D19" s="32" t="n">
        <v>13.5</v>
      </c>
      <c r="E19" s="31" t="inlineStr">
        <is>
          <t>19.3%</t>
        </is>
      </c>
      <c r="F19" s="31" t="inlineStr">
        <is>
          <t>0 (baseline)</t>
        </is>
      </c>
    </row>
    <row r="20">
      <c r="A20" s="5" t="inlineStr">
        <is>
          <t>Year 2</t>
        </is>
      </c>
      <c r="B20" s="27" t="n">
        <v>36</v>
      </c>
      <c r="C20" s="33" t="n">
        <v>73.40000000000001</v>
      </c>
      <c r="D20" s="33" t="n">
        <v>14.3</v>
      </c>
      <c r="E20" s="27" t="inlineStr">
        <is>
          <t>19.5%</t>
        </is>
      </c>
      <c r="F20" s="27" t="inlineStr">
        <is>
          <t>+1</t>
        </is>
      </c>
    </row>
    <row r="21">
      <c r="A21" s="7" t="inlineStr">
        <is>
          <t>Year 3</t>
        </is>
      </c>
      <c r="B21" s="22" t="n">
        <v>38</v>
      </c>
      <c r="C21" s="34" t="n">
        <v>79</v>
      </c>
      <c r="D21" s="34" t="n">
        <v>15.5</v>
      </c>
      <c r="E21" s="22" t="inlineStr">
        <is>
          <t>19.6%</t>
        </is>
      </c>
      <c r="F21" s="22" t="inlineStr">
        <is>
          <t>+3</t>
        </is>
      </c>
    </row>
    <row r="22">
      <c r="A22" s="5" t="inlineStr">
        <is>
          <t>Year 4</t>
        </is>
      </c>
      <c r="B22" s="27" t="n">
        <v>40</v>
      </c>
      <c r="C22" s="33" t="n">
        <v>85.09999999999999</v>
      </c>
      <c r="D22" s="33" t="n">
        <v>16.9</v>
      </c>
      <c r="E22" s="27" t="inlineStr">
        <is>
          <t>19.9%</t>
        </is>
      </c>
      <c r="F22" s="27" t="inlineStr">
        <is>
          <t>+5</t>
        </is>
      </c>
    </row>
    <row r="23">
      <c r="A23" s="7" t="inlineStr">
        <is>
          <t>Year 5</t>
        </is>
      </c>
      <c r="B23" s="22" t="n">
        <v>42</v>
      </c>
      <c r="C23" s="34" t="n">
        <v>91.59999999999999</v>
      </c>
      <c r="D23" s="34" t="n">
        <v>18.3</v>
      </c>
      <c r="E23" s="22" t="inlineStr">
        <is>
          <t>20.0%</t>
        </is>
      </c>
      <c r="F23" s="22" t="inlineStr">
        <is>
          <t>+7</t>
        </is>
      </c>
    </row>
    <row r="24">
      <c r="A24" s="29" t="inlineStr">
        <is>
          <t xml:space="preserve">  ASSUMPTIONS: 2% same-store sales growth/year | New units at $1.2M build cost | Yr-1 EBITDA/new unit = $200K | Stabilized EBITDA/new unit = $340K</t>
        </is>
      </c>
    </row>
    <row r="26">
      <c r="A26" s="16" t="inlineStr">
        <is>
          <t>SECTION C — VALUATION BRIDGE  (Why 7x Is Fair)</t>
        </is>
      </c>
      <c r="B26" s="17" t="n"/>
      <c r="C26" s="17" t="n"/>
      <c r="D26" s="18" t="n"/>
    </row>
    <row r="27">
      <c r="A27" s="19" t="inlineStr">
        <is>
          <t>Scenario</t>
        </is>
      </c>
      <c r="B27" s="19" t="inlineStr">
        <is>
          <t>EBITDA ($M)</t>
        </is>
      </c>
      <c r="C27" s="19" t="inlineStr">
        <is>
          <t>Multiple</t>
        </is>
      </c>
      <c r="D27" s="19" t="inlineStr">
        <is>
          <t>Enterprise Value ($M)</t>
        </is>
      </c>
    </row>
    <row r="28">
      <c r="A28" s="9" t="inlineStr">
        <is>
          <t>Corporate Offer (rejected)</t>
        </is>
      </c>
      <c r="B28" s="35" t="n">
        <v>13.5</v>
      </c>
      <c r="C28" s="36" t="inlineStr">
        <is>
          <t>4.0x</t>
        </is>
      </c>
      <c r="D28" s="35" t="n">
        <v>54</v>
      </c>
      <c r="E28" s="37" t="inlineStr">
        <is>
          <t>Dutch Bros internal — not market</t>
        </is>
      </c>
    </row>
    <row r="29">
      <c r="A29" s="9" t="inlineStr">
        <is>
          <t>Arizona Comp Floor (May 2026)</t>
        </is>
      </c>
      <c r="B29" s="35" t="n">
        <v>13.5</v>
      </c>
      <c r="C29" s="36" t="inlineStr">
        <is>
          <t>4.5x</t>
        </is>
      </c>
      <c r="D29" s="35" t="n">
        <v>60.75</v>
      </c>
      <c r="E29" s="37" t="inlineStr">
        <is>
          <t>Retirement discount — not market rate</t>
        </is>
      </c>
    </row>
    <row r="30">
      <c r="A30" s="30" t="inlineStr">
        <is>
          <t>Our Ask — Entry</t>
        </is>
      </c>
      <c r="B30" s="38" t="n">
        <v>13.5</v>
      </c>
      <c r="C30" s="31" t="inlineStr">
        <is>
          <t>7.0x</t>
        </is>
      </c>
      <c r="D30" s="38" t="n">
        <v>94.5</v>
      </c>
      <c r="E30" s="39" t="inlineStr">
        <is>
          <t>Target LOI price</t>
        </is>
      </c>
    </row>
    <row r="31">
      <c r="A31" s="40" t="inlineStr">
        <is>
          <t>Forward NTM (Year 2)</t>
        </is>
      </c>
      <c r="B31" s="41" t="n">
        <v>14.3</v>
      </c>
      <c r="C31" s="42" t="inlineStr">
        <is>
          <t>7.0x</t>
        </is>
      </c>
      <c r="D31" s="41" t="n">
        <v>100.1</v>
      </c>
      <c r="E31" s="43">
        <f> 6.6x on LTM — compelling entry</f>
        <v/>
      </c>
    </row>
    <row r="32">
      <c r="A32" s="12" t="inlineStr">
        <is>
          <t>Public Market Arb (BROS at 26.5x)</t>
        </is>
      </c>
      <c r="B32" s="44" t="n">
        <v>13.5</v>
      </c>
      <c r="C32" s="45" t="inlineStr">
        <is>
          <t>26.5x</t>
        </is>
      </c>
      <c r="D32" s="44" t="n">
        <v>357.75</v>
      </c>
      <c r="E32" s="29" t="inlineStr">
        <is>
          <t>Buying private at 7x → $292M day-1 gain</t>
        </is>
      </c>
    </row>
  </sheetData>
  <mergeCells count="6">
    <mergeCell ref="A24:F24"/>
    <mergeCell ref="A1:D1"/>
    <mergeCell ref="A26:D26"/>
    <mergeCell ref="A15:D15"/>
    <mergeCell ref="A17:F1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8" customWidth="1" min="4" max="4"/>
    <col width="12" customWidth="1" min="5" max="5"/>
    <col width="14" customWidth="1" min="6" max="6"/>
    <col width="12" customWidth="1" min="7" max="7"/>
    <col width="52" customWidth="1" min="8" max="8"/>
  </cols>
  <sheetData>
    <row r="1" ht="26" customHeight="1">
      <c r="A1" s="15" t="inlineStr">
        <is>
          <t>PROJECT ALPINE — COMPARABLE TRANSACTIONS</t>
        </is>
      </c>
    </row>
    <row r="2">
      <c r="A2" s="3" t="inlineStr">
        <is>
          <t>Deal</t>
        </is>
      </c>
      <c r="B2" s="3" t="inlineStr">
        <is>
          <t>Acquirer</t>
        </is>
      </c>
      <c r="C2" s="3" t="inlineStr">
        <is>
          <t>Seller</t>
        </is>
      </c>
      <c r="D2" s="3" t="inlineStr">
        <is>
          <t>Year</t>
        </is>
      </c>
      <c r="E2" s="3" t="inlineStr">
        <is>
          <t>EV ($M)</t>
        </is>
      </c>
      <c r="F2" s="3" t="inlineStr">
        <is>
          <t>Units</t>
        </is>
      </c>
      <c r="G2" s="3" t="inlineStr">
        <is>
          <t>EV/EBITDA</t>
        </is>
      </c>
      <c r="H2" s="3" t="inlineStr">
        <is>
          <t>Notes</t>
        </is>
      </c>
    </row>
    <row r="3">
      <c r="A3" s="40" t="inlineStr">
        <is>
          <t>Carrols Restaurant Group</t>
        </is>
      </c>
      <c r="B3" s="40" t="inlineStr">
        <is>
          <t>Restaurant Brands Intl</t>
        </is>
      </c>
      <c r="C3" s="40" t="inlineStr">
        <is>
          <t>Carrols (NASDAQ)</t>
        </is>
      </c>
      <c r="D3" s="42" t="n">
        <v>2023</v>
      </c>
      <c r="E3" s="46" t="n">
        <v>1000</v>
      </c>
      <c r="F3" s="42" t="inlineStr">
        <is>
          <t>1,000+ BK units</t>
        </is>
      </c>
      <c r="G3" s="42" t="inlineStr">
        <is>
          <t>~9x</t>
        </is>
      </c>
      <c r="H3" s="40" t="inlineStr">
        <is>
          <t>Largest BK franchisee; premium for scale</t>
        </is>
      </c>
    </row>
    <row r="4">
      <c r="A4" s="40" t="inlineStr">
        <is>
          <t>Del Taco</t>
        </is>
      </c>
      <c r="B4" s="40" t="inlineStr">
        <is>
          <t>Jack in the Box</t>
        </is>
      </c>
      <c r="C4" s="40" t="inlineStr">
        <is>
          <t>Del Taco (NASDAQ)</t>
        </is>
      </c>
      <c r="D4" s="42" t="n">
        <v>2021</v>
      </c>
      <c r="E4" s="46" t="n">
        <v>575</v>
      </c>
      <c r="F4" s="42" t="inlineStr">
        <is>
          <t>600 units</t>
        </is>
      </c>
      <c r="G4" s="42" t="inlineStr">
        <is>
          <t>~8x</t>
        </is>
      </c>
      <c r="H4" s="40" t="inlineStr">
        <is>
          <t>Strategic synergy premium</t>
        </is>
      </c>
    </row>
    <row r="5">
      <c r="A5" s="40" t="inlineStr">
        <is>
          <t>Denny's Franchise Package</t>
        </is>
      </c>
      <c r="B5" s="40" t="inlineStr">
        <is>
          <t>TriArtisan Capital</t>
        </is>
      </c>
      <c r="C5" s="40" t="inlineStr">
        <is>
          <t>Various Denny's ops</t>
        </is>
      </c>
      <c r="D5" s="42" t="n">
        <v>2019</v>
      </c>
      <c r="E5" s="46" t="n">
        <v>175</v>
      </c>
      <c r="F5" s="42" t="inlineStr">
        <is>
          <t>~110 units</t>
        </is>
      </c>
      <c r="G5" s="42" t="inlineStr">
        <is>
          <t>~8x</t>
        </is>
      </c>
      <c r="H5" s="40" t="inlineStr">
        <is>
          <t>Legacy brand, PE entry</t>
        </is>
      </c>
    </row>
    <row r="6">
      <c r="A6" s="40" t="inlineStr">
        <is>
          <t>WaBa Grill Franchise Pkg</t>
        </is>
      </c>
      <c r="B6" s="40" t="inlineStr">
        <is>
          <t>Private</t>
        </is>
      </c>
      <c r="C6" s="40" t="inlineStr">
        <is>
          <t>Family operators</t>
        </is>
      </c>
      <c r="D6" s="42" t="n">
        <v>2022</v>
      </c>
      <c r="E6" s="46" t="n">
        <v>48</v>
      </c>
      <c r="F6" s="42" t="inlineStr">
        <is>
          <t>~70 units</t>
        </is>
      </c>
      <c r="G6" s="42" t="inlineStr">
        <is>
          <t>~6x</t>
        </is>
      </c>
      <c r="H6" s="40" t="inlineStr">
        <is>
          <t>Regional QSR mid-market</t>
        </is>
      </c>
    </row>
    <row r="7">
      <c r="A7" s="47" t="inlineStr">
        <is>
          <t>Arizona Dutch Bros Pkg ⚠</t>
        </is>
      </c>
      <c r="B7" s="47" t="inlineStr">
        <is>
          <t>Dutch Bros Corporate</t>
        </is>
      </c>
      <c r="C7" s="47" t="inlineStr">
        <is>
          <t>Legacy operator</t>
        </is>
      </c>
      <c r="D7" s="48" t="n">
        <v>2026</v>
      </c>
      <c r="E7" s="49" t="n">
        <v>63</v>
      </c>
      <c r="F7" s="48" t="inlineStr">
        <is>
          <t>29 units</t>
        </is>
      </c>
      <c r="G7" s="48" t="inlineStr">
        <is>
          <t>4.5x</t>
        </is>
      </c>
      <c r="H7" s="47" t="inlineStr">
        <is>
          <t>RETIREMENT DISCOUNT — operator needed out; NOT market rate</t>
        </is>
      </c>
    </row>
    <row r="8">
      <c r="A8" s="10" t="inlineStr">
        <is>
          <t>★ PROJECT ALPINE (Ask)</t>
        </is>
      </c>
      <c r="B8" s="10" t="inlineStr">
        <is>
          <t>TBD</t>
        </is>
      </c>
      <c r="C8" s="10" t="inlineStr">
        <is>
          <t>Our Client (via Paulson)</t>
        </is>
      </c>
      <c r="D8" s="50" t="n">
        <v>2026</v>
      </c>
      <c r="E8" s="51" t="n">
        <v>94.5</v>
      </c>
      <c r="F8" s="50" t="inlineStr">
        <is>
          <t>35 units</t>
        </is>
      </c>
      <c r="G8" s="50" t="inlineStr">
        <is>
          <t>7.0x</t>
        </is>
      </c>
      <c r="H8" s="10" t="inlineStr">
        <is>
          <t>Premium: expansion land, top-performing units, PNW exclusivity</t>
        </is>
      </c>
    </row>
    <row r="10">
      <c r="A10" s="52" t="inlineStr">
        <is>
          <t>COLOR KEY:  Blue = comparable deals  |  Green = Project Alpine (our deal)  |  Red = Arizona comp (retirement discount, should be excluded from market analysis)</t>
        </is>
      </c>
    </row>
    <row r="11">
      <c r="A11" s="53" t="inlineStr">
        <is>
          <t>Source: Public filings, press releases, industry databases. Estimated figures marked with '~'. Arizona deal EV estimated based on 4.5x × $14M unit-level EBITDA proxy.</t>
        </is>
      </c>
    </row>
  </sheetData>
  <mergeCells count="3">
    <mergeCell ref="A11:H11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36" customWidth="1" min="4" max="4"/>
    <col width="14" customWidth="1" min="5" max="5"/>
    <col width="10" customWidth="1" min="6" max="6"/>
    <col width="12" customWidth="1" min="7" max="7"/>
    <col width="14" customWidth="1" min="8" max="8"/>
    <col width="55" customWidth="1" min="9" max="9"/>
  </cols>
  <sheetData>
    <row r="1" ht="26" customHeight="1">
      <c r="A1" s="15" t="inlineStr">
        <is>
          <t>PROJECT ALPINE — BUYER TARGETS &amp; CONTACT DIRECTORY</t>
        </is>
      </c>
    </row>
    <row r="2">
      <c r="A2" s="16" t="inlineStr">
        <is>
          <t>PRIORITY 1 — STRATEGIC OPERATORS  (Pay Highest Multiples; Direct Operators)</t>
        </is>
      </c>
      <c r="B2" s="17" t="n"/>
      <c r="C2" s="17" t="n"/>
      <c r="D2" s="17" t="n"/>
      <c r="E2" s="17" t="n"/>
      <c r="F2" s="17" t="n"/>
      <c r="G2" s="17" t="n"/>
      <c r="H2" s="17" t="n"/>
      <c r="I2" s="18" t="n"/>
    </row>
    <row r="3">
      <c r="A3" s="54" t="inlineStr">
        <is>
          <t>Buyer</t>
        </is>
      </c>
      <c r="B3" s="54" t="inlineStr">
        <is>
          <t>Type</t>
        </is>
      </c>
      <c r="C3" s="54" t="inlineStr">
        <is>
          <t>Contact</t>
        </is>
      </c>
      <c r="D3" s="54" t="inlineStr">
        <is>
          <t>Title</t>
        </is>
      </c>
      <c r="E3" s="54" t="inlineStr">
        <is>
          <t>Email</t>
        </is>
      </c>
      <c r="F3" s="54" t="inlineStr">
        <is>
          <t>Phone</t>
        </is>
      </c>
      <c r="G3" s="54" t="inlineStr">
        <is>
          <t>Status</t>
        </is>
      </c>
      <c r="H3" s="54" t="inlineStr">
        <is>
          <t>Priority</t>
        </is>
      </c>
      <c r="I3" s="54" t="inlineStr">
        <is>
          <t>Notes</t>
        </is>
      </c>
    </row>
    <row r="4">
      <c r="A4" s="30" t="inlineStr">
        <is>
          <t>Flynn Restaurant Group</t>
        </is>
      </c>
      <c r="B4" s="55" t="inlineStr">
        <is>
          <t>Operator</t>
        </is>
      </c>
      <c r="C4" s="55" t="inlineStr">
        <is>
          <t>Lorin Cortina</t>
        </is>
      </c>
      <c r="D4" s="55" t="inlineStr">
        <is>
          <t>EVP &amp; CFO</t>
        </is>
      </c>
      <c r="E4" s="55" t="inlineStr">
        <is>
          <t>lcortina@flynnrg.com</t>
        </is>
      </c>
      <c r="F4" s="55" t="inlineStr">
        <is>
          <t>(415) 362-5000</t>
        </is>
      </c>
      <c r="G4" s="55" t="inlineStr">
        <is>
          <t>ACTIVE</t>
        </is>
      </c>
      <c r="H4" s="55" t="inlineStr">
        <is>
          <t>P1</t>
        </is>
      </c>
      <c r="I4" s="55" t="inlineStr">
        <is>
          <t>Largest franchise operator in US; Greg Flynn email bounced — use Lorin</t>
        </is>
      </c>
    </row>
    <row r="5">
      <c r="A5" s="30" t="inlineStr">
        <is>
          <t>Sun Holdings</t>
        </is>
      </c>
      <c r="B5" s="55" t="inlineStr">
        <is>
          <t>Operator</t>
        </is>
      </c>
      <c r="C5" s="55" t="inlineStr">
        <is>
          <t>Guillermo Perales</t>
        </is>
      </c>
      <c r="D5" s="55" t="inlineStr">
        <is>
          <t>Founder &amp; CEO</t>
        </is>
      </c>
      <c r="E5" s="55" t="inlineStr">
        <is>
          <t>gperales@sunholdings.com</t>
        </is>
      </c>
      <c r="F5" s="55" t="inlineStr">
        <is>
          <t>(214) 452-0015</t>
        </is>
      </c>
      <c r="G5" s="55" t="inlineStr">
        <is>
          <t>ACTIVE</t>
        </is>
      </c>
      <c r="H5" s="55" t="inlineStr">
        <is>
          <t>P1</t>
        </is>
      </c>
      <c r="I5" s="55" t="inlineStr">
        <is>
          <t>1,000+ franchise units; can move fast</t>
        </is>
      </c>
    </row>
    <row r="6">
      <c r="A6" s="30" t="inlineStr">
        <is>
          <t>Tucker's Farm</t>
        </is>
      </c>
      <c r="B6" s="55" t="inlineStr">
        <is>
          <t>Regional Op</t>
        </is>
      </c>
      <c r="C6" s="55" t="inlineStr">
        <is>
          <t>Tucker Family</t>
        </is>
      </c>
      <c r="D6" s="55" t="inlineStr">
        <is>
          <t>Owner</t>
        </is>
      </c>
      <c r="E6" s="55" t="inlineStr">
        <is>
          <t>[verify via website]</t>
        </is>
      </c>
      <c r="F6" s="55" t="inlineStr">
        <is>
          <t>(541) 555-0100</t>
        </is>
      </c>
      <c r="G6" s="55" t="inlineStr">
        <is>
          <t>ACTIVE</t>
        </is>
      </c>
      <c r="H6" s="55" t="inlineStr">
        <is>
          <t>P1</t>
        </is>
      </c>
      <c r="I6" s="55" t="inlineStr">
        <is>
          <t>PNW operator — strong geographic fit</t>
        </is>
      </c>
    </row>
    <row r="8">
      <c r="A8" s="16" t="inlineStr">
        <is>
          <t>PRIORITY 2 — PE FIRMS  (Restaurant / QSR / Consumer Focus)</t>
        </is>
      </c>
      <c r="B8" s="17" t="n"/>
      <c r="C8" s="17" t="n"/>
      <c r="D8" s="17" t="n"/>
      <c r="E8" s="17" t="n"/>
      <c r="F8" s="17" t="n"/>
      <c r="G8" s="17" t="n"/>
      <c r="H8" s="17" t="n"/>
      <c r="I8" s="18" t="n"/>
    </row>
    <row r="9">
      <c r="A9" s="54" t="inlineStr">
        <is>
          <t>Firm</t>
        </is>
      </c>
      <c r="B9" s="54" t="inlineStr">
        <is>
          <t>Contact</t>
        </is>
      </c>
      <c r="C9" s="54" t="inlineStr">
        <is>
          <t>Title</t>
        </is>
      </c>
      <c r="D9" s="54" t="inlineStr">
        <is>
          <t>Email</t>
        </is>
      </c>
      <c r="E9" s="54" t="inlineStr">
        <is>
          <t>Phone</t>
        </is>
      </c>
      <c r="F9" s="54" t="inlineStr">
        <is>
          <t>AUM</t>
        </is>
      </c>
      <c r="G9" s="54" t="inlineStr">
        <is>
          <t>Status</t>
        </is>
      </c>
      <c r="H9" s="54" t="inlineStr">
        <is>
          <t>Priority</t>
        </is>
      </c>
      <c r="I9" s="54" t="inlineStr">
        <is>
          <t>Notes</t>
        </is>
      </c>
    </row>
    <row r="10">
      <c r="A10" s="10" t="inlineStr">
        <is>
          <t>TriArtisan Capital Partners</t>
        </is>
      </c>
      <c r="B10" s="10" t="inlineStr">
        <is>
          <t>Adam Gray</t>
        </is>
      </c>
      <c r="C10" s="10" t="inlineStr">
        <is>
          <t>Managing Partner</t>
        </is>
      </c>
      <c r="D10" s="10" t="inlineStr">
        <is>
          <t>agray@triartisan.com</t>
        </is>
      </c>
      <c r="E10" s="10" t="inlineStr">
        <is>
          <t>(212) 257-1700</t>
        </is>
      </c>
      <c r="F10" s="10" t="inlineStr">
        <is>
          <t>$1.2B</t>
        </is>
      </c>
      <c r="G10" s="10" t="inlineStr">
        <is>
          <t>ACTIVE</t>
        </is>
      </c>
      <c r="H10" s="10" t="inlineStr">
        <is>
          <t>P2</t>
        </is>
      </c>
      <c r="I10" s="10" t="inlineStr">
        <is>
          <t>Denny's, TGI Friday's specialist — MOST LIKELY PE buyer</t>
        </is>
      </c>
    </row>
    <row r="11">
      <c r="A11" s="4" t="inlineStr">
        <is>
          <t>Gauge Capital</t>
        </is>
      </c>
      <c r="B11" s="5" t="inlineStr">
        <is>
          <t>Jeff Fronterhouse</t>
        </is>
      </c>
      <c r="C11" s="5" t="inlineStr">
        <is>
          <t>Partner</t>
        </is>
      </c>
      <c r="D11" s="5" t="inlineStr">
        <is>
          <t>jfronterhouse@gaugecapital.com</t>
        </is>
      </c>
      <c r="E11" s="5" t="inlineStr">
        <is>
          <t>(214) 665-0900</t>
        </is>
      </c>
      <c r="F11" s="5" t="inlineStr">
        <is>
          <t>$900M</t>
        </is>
      </c>
      <c r="G11" s="5" t="inlineStr">
        <is>
          <t>ACTIVE</t>
        </is>
      </c>
      <c r="H11" s="5" t="inlineStr">
        <is>
          <t>P2</t>
        </is>
      </c>
      <c r="I11" s="5" t="inlineStr">
        <is>
          <t>Dallas TX, restaurant/consumer focus</t>
        </is>
      </c>
    </row>
    <row r="12">
      <c r="A12" s="6" t="inlineStr">
        <is>
          <t>L Catterton</t>
        </is>
      </c>
      <c r="B12" s="7" t="inlineStr">
        <is>
          <t>Michael Farello</t>
        </is>
      </c>
      <c r="C12" s="7" t="inlineStr">
        <is>
          <t>Managing Partner</t>
        </is>
      </c>
      <c r="D12" s="7" t="inlineStr">
        <is>
          <t>mfarello@lcatterton.com</t>
        </is>
      </c>
      <c r="E12" s="7" t="inlineStr">
        <is>
          <t>(203) 682-8200</t>
        </is>
      </c>
      <c r="F12" s="7" t="inlineStr">
        <is>
          <t>$35B</t>
        </is>
      </c>
      <c r="G12" s="7" t="inlineStr">
        <is>
          <t>ACTIVE</t>
        </is>
      </c>
      <c r="H12" s="7" t="inlineStr">
        <is>
          <t>P2</t>
        </is>
      </c>
      <c r="I12" s="7" t="inlineStr">
        <is>
          <t>Consumer PE giant; deep QSR knowledge</t>
        </is>
      </c>
    </row>
    <row r="13">
      <c r="A13" s="4" t="inlineStr">
        <is>
          <t>CapitalSpring</t>
        </is>
      </c>
      <c r="B13" s="5" t="inlineStr">
        <is>
          <t>Brent Esber</t>
        </is>
      </c>
      <c r="C13" s="5" t="inlineStr">
        <is>
          <t>Partner</t>
        </is>
      </c>
      <c r="D13" s="5" t="inlineStr">
        <is>
          <t>besber@capitalspring.com</t>
        </is>
      </c>
      <c r="E13" s="5" t="inlineStr">
        <is>
          <t>(212) 230-9700</t>
        </is>
      </c>
      <c r="F13" s="5" t="inlineStr">
        <is>
          <t>$1.5B</t>
        </is>
      </c>
      <c r="G13" s="5" t="inlineStr">
        <is>
          <t>ACTIVE</t>
        </is>
      </c>
      <c r="H13" s="5" t="inlineStr">
        <is>
          <t>P2</t>
        </is>
      </c>
      <c r="I13" s="5" t="inlineStr">
        <is>
          <t>Restaurant-only PE — lender + equity</t>
        </is>
      </c>
    </row>
    <row r="14">
      <c r="A14" s="6" t="inlineStr">
        <is>
          <t>Trive Capital</t>
        </is>
      </c>
      <c r="B14" s="7" t="inlineStr">
        <is>
          <t>Conner Searcy</t>
        </is>
      </c>
      <c r="C14" s="7" t="inlineStr">
        <is>
          <t>Associate</t>
        </is>
      </c>
      <c r="D14" s="7" t="inlineStr">
        <is>
          <t>csearcy@trivecapital.com</t>
        </is>
      </c>
      <c r="E14" s="7" t="inlineStr">
        <is>
          <t>(214) 269-1040</t>
        </is>
      </c>
      <c r="F14" s="7" t="inlineStr">
        <is>
          <t>$1.5B</t>
        </is>
      </c>
      <c r="G14" s="7" t="inlineStr">
        <is>
          <t>ACTIVE</t>
        </is>
      </c>
      <c r="H14" s="7" t="inlineStr">
        <is>
          <t>P2</t>
        </is>
      </c>
      <c r="I14" s="7" t="inlineStr">
        <is>
          <t>Texas PE, food/franchise experience</t>
        </is>
      </c>
    </row>
    <row r="15">
      <c r="A15" s="4" t="inlineStr">
        <is>
          <t>Peak Rock Capital</t>
        </is>
      </c>
      <c r="B15" s="5" t="inlineStr">
        <is>
          <t>M&amp;A Team</t>
        </is>
      </c>
      <c r="C15" s="5" t="inlineStr">
        <is>
          <t>—</t>
        </is>
      </c>
      <c r="D15" s="5" t="inlineStr">
        <is>
          <t>info@peakrockcapital.com</t>
        </is>
      </c>
      <c r="E15" s="5" t="inlineStr">
        <is>
          <t>(512) 732-7000</t>
        </is>
      </c>
      <c r="F15" s="5" t="inlineStr">
        <is>
          <t>$3B</t>
        </is>
      </c>
      <c r="G15" s="5" t="inlineStr">
        <is>
          <t>ACTIVE</t>
        </is>
      </c>
      <c r="H15" s="5" t="inlineStr">
        <is>
          <t>P2</t>
        </is>
      </c>
      <c r="I15" s="5" t="inlineStr">
        <is>
          <t>Austin TX; QSR portfolio focus</t>
        </is>
      </c>
    </row>
    <row r="16">
      <c r="A16" s="6" t="inlineStr">
        <is>
          <t>Goode Partners</t>
        </is>
      </c>
      <c r="B16" s="7" t="inlineStr">
        <is>
          <t>David Oddi</t>
        </is>
      </c>
      <c r="C16" s="7" t="inlineStr">
        <is>
          <t>Partner</t>
        </is>
      </c>
      <c r="D16" s="7" t="inlineStr">
        <is>
          <t>doddi@goodepartners.com</t>
        </is>
      </c>
      <c r="E16" s="7" t="inlineStr">
        <is>
          <t>(646) 722-9455</t>
        </is>
      </c>
      <c r="F16" s="7" t="inlineStr">
        <is>
          <t>$800M</t>
        </is>
      </c>
      <c r="G16" s="7" t="inlineStr">
        <is>
          <t>ACTIVE</t>
        </is>
      </c>
      <c r="H16" s="7" t="inlineStr">
        <is>
          <t>P2</t>
        </is>
      </c>
      <c r="I16" s="7" t="inlineStr">
        <is>
          <t>NY restaurant/consumer PE</t>
        </is>
      </c>
    </row>
    <row r="17">
      <c r="A17" s="4" t="inlineStr">
        <is>
          <t>Riverside Company</t>
        </is>
      </c>
      <c r="B17" s="5" t="inlineStr">
        <is>
          <t>M&amp;A Team</t>
        </is>
      </c>
      <c r="C17" s="5" t="inlineStr">
        <is>
          <t>—</t>
        </is>
      </c>
      <c r="D17" s="5" t="inlineStr">
        <is>
          <t>info@riversideco.com</t>
        </is>
      </c>
      <c r="E17" s="5" t="inlineStr">
        <is>
          <t>(212) 265-7940</t>
        </is>
      </c>
      <c r="F17" s="5" t="inlineStr">
        <is>
          <t>$13B</t>
        </is>
      </c>
      <c r="G17" s="5" t="inlineStr">
        <is>
          <t>ACTIVE</t>
        </is>
      </c>
      <c r="H17" s="5" t="inlineStr">
        <is>
          <t>P2</t>
        </is>
      </c>
      <c r="I17" s="5" t="inlineStr">
        <is>
          <t>Global LMM PE; food &amp; consumer</t>
        </is>
      </c>
    </row>
    <row r="18">
      <c r="A18" s="6" t="inlineStr">
        <is>
          <t>Brentwood Associates</t>
        </is>
      </c>
      <c r="B18" s="7" t="inlineStr">
        <is>
          <t>Corp Dev</t>
        </is>
      </c>
      <c r="C18" s="7" t="inlineStr">
        <is>
          <t>—</t>
        </is>
      </c>
      <c r="D18" s="7" t="inlineStr">
        <is>
          <t>info@brentwoodassociates.com</t>
        </is>
      </c>
      <c r="E18" s="7" t="inlineStr">
        <is>
          <t>(310) 477-8560</t>
        </is>
      </c>
      <c r="F18" s="7" t="inlineStr">
        <is>
          <t>$3B</t>
        </is>
      </c>
      <c r="G18" s="7" t="inlineStr">
        <is>
          <t>ACTIVE</t>
        </is>
      </c>
      <c r="H18" s="7" t="inlineStr">
        <is>
          <t>P2</t>
        </is>
      </c>
      <c r="I18" s="7" t="inlineStr">
        <is>
          <t>LA-based consumer/retail PE</t>
        </is>
      </c>
    </row>
    <row r="19">
      <c r="A19" s="4" t="inlineStr">
        <is>
          <t>Trivest Partners</t>
        </is>
      </c>
      <c r="B19" s="5" t="inlineStr">
        <is>
          <t>Corp Dev</t>
        </is>
      </c>
      <c r="C19" s="5" t="inlineStr">
        <is>
          <t>—</t>
        </is>
      </c>
      <c r="D19" s="5" t="inlineStr">
        <is>
          <t>info@trivest.com</t>
        </is>
      </c>
      <c r="E19" s="5" t="inlineStr">
        <is>
          <t>(305) 858-2200</t>
        </is>
      </c>
      <c r="F19" s="5" t="inlineStr">
        <is>
          <t>$4B</t>
        </is>
      </c>
      <c r="G19" s="5" t="inlineStr">
        <is>
          <t>ACTIVE</t>
        </is>
      </c>
      <c r="H19" s="5" t="inlineStr">
        <is>
          <t>P2</t>
        </is>
      </c>
      <c r="I19" s="5" t="inlineStr">
        <is>
          <t>Florida PE; founder-exit specialist</t>
        </is>
      </c>
    </row>
    <row r="20">
      <c r="A20" s="6" t="inlineStr">
        <is>
          <t>Orangewood Partners</t>
        </is>
      </c>
      <c r="B20" s="7" t="inlineStr">
        <is>
          <t>Corp Dev</t>
        </is>
      </c>
      <c r="C20" s="7" t="inlineStr">
        <is>
          <t>—</t>
        </is>
      </c>
      <c r="D20" s="7" t="inlineStr">
        <is>
          <t>info@orangewoodpartners.com</t>
        </is>
      </c>
      <c r="E20" s="7" t="inlineStr">
        <is>
          <t>(212) 937-3940</t>
        </is>
      </c>
      <c r="F20" s="7" t="inlineStr">
        <is>
          <t>$1B</t>
        </is>
      </c>
      <c r="G20" s="7" t="inlineStr">
        <is>
          <t>ACTIVE</t>
        </is>
      </c>
      <c r="H20" s="7" t="inlineStr">
        <is>
          <t>P2</t>
        </is>
      </c>
      <c r="I20" s="7" t="inlineStr">
        <is>
          <t>NY; food &amp; beverage focus</t>
        </is>
      </c>
    </row>
    <row r="22">
      <c r="A22" s="16" t="inlineStr">
        <is>
          <t>REJECTED — DO NOT CONTACT  (Conflict, Strategic Misfit, or Client Direction)</t>
        </is>
      </c>
      <c r="B22" s="17" t="n"/>
      <c r="C22" s="17" t="n"/>
      <c r="D22" s="17" t="n"/>
      <c r="E22" s="17" t="n"/>
      <c r="F22" s="17" t="n"/>
      <c r="G22" s="17" t="n"/>
      <c r="H22" s="17" t="n"/>
      <c r="I22" s="18" t="n"/>
    </row>
    <row r="23">
      <c r="A23" s="54" t="inlineStr">
        <is>
          <t>Firm</t>
        </is>
      </c>
      <c r="B23" s="54" t="inlineStr">
        <is>
          <t>Contact</t>
        </is>
      </c>
      <c r="C23" s="54" t="inlineStr">
        <is>
          <t>Title</t>
        </is>
      </c>
      <c r="D23" s="54" t="inlineStr">
        <is>
          <t>Email</t>
        </is>
      </c>
      <c r="E23" s="54" t="inlineStr">
        <is>
          <t>Phone</t>
        </is>
      </c>
      <c r="F23" s="54" t="inlineStr">
        <is>
          <t>AUM</t>
        </is>
      </c>
      <c r="G23" s="54" t="inlineStr">
        <is>
          <t>Status</t>
        </is>
      </c>
      <c r="H23" s="54" t="inlineStr">
        <is>
          <t>Priority</t>
        </is>
      </c>
      <c r="I23" s="54" t="inlineStr">
        <is>
          <t>Notes</t>
        </is>
      </c>
    </row>
    <row r="24">
      <c r="A24" s="9" t="inlineStr">
        <is>
          <t>Roark Capital</t>
        </is>
      </c>
      <c r="B24" s="9" t="inlineStr">
        <is>
          <t>—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47" t="inlineStr">
        <is>
          <t>REJECTED</t>
        </is>
      </c>
      <c r="H24" s="8" t="inlineStr">
        <is>
          <t>—</t>
        </is>
      </c>
      <c r="I24" s="9" t="inlineStr">
        <is>
          <t>Client direction — do not contact</t>
        </is>
      </c>
    </row>
    <row r="25">
      <c r="A25" s="9" t="inlineStr">
        <is>
          <t>GreyLion</t>
        </is>
      </c>
      <c r="B25" s="9" t="inlineStr">
        <is>
          <t>—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47" t="inlineStr">
        <is>
          <t>REJECTED</t>
        </is>
      </c>
      <c r="H25" s="8" t="inlineStr">
        <is>
          <t>—</t>
        </is>
      </c>
      <c r="I25" s="9" t="inlineStr">
        <is>
          <t>Client direction — do not contact</t>
        </is>
      </c>
    </row>
    <row r="26">
      <c r="A26" s="9" t="inlineStr">
        <is>
          <t>Keystone Capital</t>
        </is>
      </c>
      <c r="B26" s="9" t="inlineStr">
        <is>
          <t>—</t>
        </is>
      </c>
      <c r="C26" s="9" t="inlineStr">
        <is>
          <t>—</t>
        </is>
      </c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47" t="inlineStr">
        <is>
          <t>REJECTED</t>
        </is>
      </c>
      <c r="H26" s="8" t="inlineStr">
        <is>
          <t>—</t>
        </is>
      </c>
      <c r="I26" s="9" t="inlineStr">
        <is>
          <t>Client direction — do not contact</t>
        </is>
      </c>
    </row>
    <row r="27">
      <c r="A27" s="9" t="inlineStr">
        <is>
          <t>Garnett Station Partners</t>
        </is>
      </c>
      <c r="B27" s="9" t="inlineStr">
        <is>
          <t>—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47" t="inlineStr">
        <is>
          <t>REJECTED</t>
        </is>
      </c>
      <c r="H27" s="8" t="inlineStr">
        <is>
          <t>—</t>
        </is>
      </c>
      <c r="I27" s="9" t="inlineStr">
        <is>
          <t>Client direction — do not contact</t>
        </is>
      </c>
    </row>
    <row r="29">
      <c r="A29" s="16" t="inlineStr">
        <is>
          <t>PRIORITY 1 — FAMILY OFFICES  (Best Fit: Permanent Capital / Cash-Yield Story)</t>
        </is>
      </c>
      <c r="B29" s="17" t="n"/>
      <c r="C29" s="17" t="n"/>
      <c r="D29" s="17" t="n"/>
      <c r="E29" s="17" t="n"/>
      <c r="F29" s="17" t="n"/>
      <c r="G29" s="17" t="n"/>
      <c r="H29" s="17" t="n"/>
      <c r="I29" s="18" t="n"/>
    </row>
    <row r="30">
      <c r="A30" s="56" t="inlineStr">
        <is>
          <t>Family Office</t>
        </is>
      </c>
      <c r="B30" s="56" t="inlineStr">
        <is>
          <t>Location</t>
        </is>
      </c>
      <c r="C30" s="56" t="inlineStr">
        <is>
          <t>Contact</t>
        </is>
      </c>
      <c r="D30" s="56" t="inlineStr">
        <is>
          <t>Email</t>
        </is>
      </c>
      <c r="E30" s="56" t="inlineStr">
        <is>
          <t>AUM Est.</t>
        </is>
      </c>
      <c r="F30" s="56" t="inlineStr">
        <is>
          <t>Priority</t>
        </is>
      </c>
      <c r="G30" s="56" t="inlineStr">
        <is>
          <t>Status</t>
        </is>
      </c>
      <c r="H30" s="56" t="inlineStr">
        <is>
          <t>—</t>
        </is>
      </c>
      <c r="I30" s="56" t="inlineStr">
        <is>
          <t>Notes / Pitch Angle</t>
        </is>
      </c>
    </row>
    <row r="31">
      <c r="A31" s="11" t="inlineStr">
        <is>
          <t>Endeavour Capital</t>
        </is>
      </c>
      <c r="B31" s="11" t="inlineStr">
        <is>
          <t>Portland, OR</t>
        </is>
      </c>
      <c r="C31" s="11" t="inlineStr">
        <is>
          <t>Wally Turner (MP)</t>
        </is>
      </c>
      <c r="D31" s="11" t="inlineStr">
        <is>
          <t>info@endeavourcapital.com</t>
        </is>
      </c>
      <c r="E31" s="11" t="inlineStr">
        <is>
          <t>$1.5B</t>
        </is>
      </c>
      <c r="F31" s="11" t="inlineStr">
        <is>
          <t>P1</t>
        </is>
      </c>
      <c r="G31" s="11" t="inlineStr">
        <is>
          <t>ACTIVE</t>
        </is>
      </c>
      <c r="H31" s="11" t="inlineStr">
        <is>
          <t>★ HOME TURF</t>
        </is>
      </c>
      <c r="I31" s="11" t="inlineStr">
        <is>
          <t>PNW-based, consumer focus — geographic alignment ideal</t>
        </is>
      </c>
    </row>
    <row r="32">
      <c r="A32" s="11" t="inlineStr">
        <is>
          <t>Columbia Pacific Advisors</t>
        </is>
      </c>
      <c r="B32" s="12" t="inlineStr">
        <is>
          <t>Seattle, WA</t>
        </is>
      </c>
      <c r="C32" s="12" t="inlineStr">
        <is>
          <t>M&amp;A Team</t>
        </is>
      </c>
      <c r="D32" s="12" t="inlineStr">
        <is>
          <t>info@columbiapacific.com</t>
        </is>
      </c>
      <c r="E32" s="12" t="inlineStr">
        <is>
          <t>$800M</t>
        </is>
      </c>
      <c r="F32" s="12" t="inlineStr">
        <is>
          <t>P1</t>
        </is>
      </c>
      <c r="G32" s="12" t="inlineStr">
        <is>
          <t>ACTIVE</t>
        </is>
      </c>
      <c r="H32" s="12" t="inlineStr"/>
      <c r="I32" s="12" t="inlineStr">
        <is>
          <t>PNW family office; restaurant-familiar</t>
        </is>
      </c>
    </row>
    <row r="33">
      <c r="A33" s="11" t="inlineStr">
        <is>
          <t>Altair Advisers</t>
        </is>
      </c>
      <c r="B33" s="12" t="inlineStr">
        <is>
          <t>Chicago, IL</t>
        </is>
      </c>
      <c r="C33" s="12" t="inlineStr">
        <is>
          <t>Corp Dev</t>
        </is>
      </c>
      <c r="D33" s="12" t="inlineStr">
        <is>
          <t>client@altairadvisers.com</t>
        </is>
      </c>
      <c r="E33" s="12" t="inlineStr">
        <is>
          <t>$5B+</t>
        </is>
      </c>
      <c r="F33" s="12" t="inlineStr">
        <is>
          <t>P1</t>
        </is>
      </c>
      <c r="G33" s="12" t="inlineStr">
        <is>
          <t>ACTIVE</t>
        </is>
      </c>
      <c r="H33" s="12" t="inlineStr"/>
      <c r="I33" s="12" t="inlineStr">
        <is>
          <t>Multi-family office; permanent capital</t>
        </is>
      </c>
    </row>
    <row r="34">
      <c r="A34" s="11" t="inlineStr">
        <is>
          <t>Veritas Financial</t>
        </is>
      </c>
      <c r="B34" s="12" t="inlineStr">
        <is>
          <t>Dallas, TX</t>
        </is>
      </c>
      <c r="C34" s="12" t="inlineStr">
        <is>
          <t>Managing Dir</t>
        </is>
      </c>
      <c r="D34" s="12" t="inlineStr">
        <is>
          <t>info@veritasfinancial.com</t>
        </is>
      </c>
      <c r="E34" s="12" t="inlineStr">
        <is>
          <t>$2B</t>
        </is>
      </c>
      <c r="F34" s="12" t="inlineStr">
        <is>
          <t>P1</t>
        </is>
      </c>
      <c r="G34" s="12" t="inlineStr">
        <is>
          <t>ACTIVE</t>
        </is>
      </c>
      <c r="H34" s="12" t="inlineStr"/>
      <c r="I34" s="12" t="inlineStr">
        <is>
          <t>TX family office; cash-flow focused</t>
        </is>
      </c>
    </row>
    <row r="35">
      <c r="A35" s="11" t="inlineStr">
        <is>
          <t>Lone Star Family Office</t>
        </is>
      </c>
      <c r="B35" s="12" t="inlineStr">
        <is>
          <t>Dallas, TX</t>
        </is>
      </c>
      <c r="C35" s="12" t="inlineStr">
        <is>
          <t>LP Relations</t>
        </is>
      </c>
      <c r="D35" s="12" t="inlineStr">
        <is>
          <t>info@lonestarfamilyoffice.com</t>
        </is>
      </c>
      <c r="E35" s="12" t="inlineStr">
        <is>
          <t>$500M+</t>
        </is>
      </c>
      <c r="F35" s="12" t="inlineStr">
        <is>
          <t>P1</t>
        </is>
      </c>
      <c r="G35" s="12" t="inlineStr">
        <is>
          <t>ACTIVE</t>
        </is>
      </c>
      <c r="H35" s="12" t="inlineStr"/>
      <c r="I35" s="12" t="inlineStr">
        <is>
          <t>TX family; QSR/consumer</t>
        </is>
      </c>
    </row>
    <row r="36">
      <c r="A36" s="11" t="inlineStr">
        <is>
          <t>Pacific Family Capital</t>
        </is>
      </c>
      <c r="B36" s="11" t="inlineStr">
        <is>
          <t>Portland, OR</t>
        </is>
      </c>
      <c r="C36" s="11" t="inlineStr">
        <is>
          <t>Contact</t>
        </is>
      </c>
      <c r="D36" s="11" t="inlineStr">
        <is>
          <t>info@pacificfamilycapital.com</t>
        </is>
      </c>
      <c r="E36" s="11" t="inlineStr">
        <is>
          <t>$300M+</t>
        </is>
      </c>
      <c r="F36" s="11" t="inlineStr">
        <is>
          <t>P1</t>
        </is>
      </c>
      <c r="G36" s="11" t="inlineStr">
        <is>
          <t>ACTIVE</t>
        </is>
      </c>
      <c r="H36" s="11" t="inlineStr"/>
      <c r="I36" s="11" t="inlineStr">
        <is>
          <t>PNW, food/franchise focus</t>
        </is>
      </c>
    </row>
    <row r="37">
      <c r="A37" s="11" t="inlineStr">
        <is>
          <t>Sand Hill Global Advisors</t>
        </is>
      </c>
      <c r="B37" s="12" t="inlineStr">
        <is>
          <t>Palo Alto, CA</t>
        </is>
      </c>
      <c r="C37" s="12" t="inlineStr">
        <is>
          <t>M&amp;A</t>
        </is>
      </c>
      <c r="D37" s="12" t="inlineStr">
        <is>
          <t>info@sandhillglobal.com</t>
        </is>
      </c>
      <c r="E37" s="12" t="inlineStr">
        <is>
          <t>$2B+</t>
        </is>
      </c>
      <c r="F37" s="12" t="inlineStr">
        <is>
          <t>P1</t>
        </is>
      </c>
      <c r="G37" s="12" t="inlineStr">
        <is>
          <t>ACTIVE</t>
        </is>
      </c>
      <c r="H37" s="12" t="inlineStr"/>
      <c r="I37" s="12" t="inlineStr">
        <is>
          <t>Tech-adjacent family office</t>
        </is>
      </c>
    </row>
    <row r="39">
      <c r="A39" s="16" t="inlineStr">
        <is>
          <t>FAMILY OFFICE PITCH ANGLES</t>
        </is>
      </c>
      <c r="B39" s="17" t="n"/>
      <c r="C39" s="17" t="n"/>
      <c r="D39" s="17" t="n"/>
      <c r="E39" s="17" t="n"/>
      <c r="F39" s="17" t="n"/>
      <c r="G39" s="17" t="n"/>
      <c r="H39" s="17" t="n"/>
      <c r="I39" s="18" t="n"/>
    </row>
    <row r="40">
      <c r="A40" s="12" t="inlineStr">
        <is>
          <t>• $94.5M purchase at 7x → $13.5M EBITDA = 14.3% cash-on-cash yield Year 1</t>
        </is>
      </c>
    </row>
    <row r="41">
      <c r="A41" s="12" t="inlineStr">
        <is>
          <t>• Levered: 75% LTV debt ($70.9M at 7%) → equity check $23.6M; cash yield on equity ~57% Year 1</t>
        </is>
      </c>
    </row>
    <row r="42">
      <c r="A42" s="12" t="inlineStr">
        <is>
          <t>• All-cash: $94.5M → $13.5M/year = 14.3% perpetual yield vs. 10-yr Treasury at 4.5%</t>
        </is>
      </c>
    </row>
    <row r="43">
      <c r="A43" s="12" t="inlineStr">
        <is>
          <t>• Dutch Bros units have 20+ year operating history in Pacific Northwest</t>
        </is>
      </c>
    </row>
    <row r="44">
      <c r="A44" s="12" t="inlineStr">
        <is>
          <t>• By Year 5, investor collects ~$67.5M cumulative EBITDA on $94.5M purchase — near full payback</t>
        </is>
      </c>
    </row>
  </sheetData>
  <mergeCells count="11">
    <mergeCell ref="A29:I29"/>
    <mergeCell ref="A43:I43"/>
    <mergeCell ref="A41:I41"/>
    <mergeCell ref="A2:I2"/>
    <mergeCell ref="A42:I42"/>
    <mergeCell ref="A44:I44"/>
    <mergeCell ref="A1:I1"/>
    <mergeCell ref="A40:I40"/>
    <mergeCell ref="A8:I8"/>
    <mergeCell ref="A39:I39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</cols>
  <sheetData>
    <row r="1" ht="28" customHeight="1">
      <c r="A1" s="15" t="inlineStr">
        <is>
          <t>PROJECT ALPINE — HOW TO GET 7x DESPITE ROFR</t>
        </is>
      </c>
    </row>
    <row r="2" ht="32" customHeight="1">
      <c r="A2" s="57" t="inlineStr">
        <is>
          <t>The Right of First Refusal (ROFR) held by Dutch Bros Corporate is neutralized by a properly structured stalking-horse LOI. Below is the 4-step playbook.</t>
        </is>
      </c>
    </row>
    <row r="3" ht="22" customHeight="1">
      <c r="A3" s="16" t="inlineStr">
        <is>
          <t xml:space="preserve">  STEP 1:  Get ROFR Waiver Statement in Writing</t>
        </is>
      </c>
    </row>
    <row r="4" ht="18" customHeight="1">
      <c r="A4" s="58" t="inlineStr">
        <is>
          <t>• Corporate Contact: Daniel Warren, EVP Corporate Development, Dutch Bros Inc.</t>
        </is>
      </c>
    </row>
    <row r="5" ht="18" customHeight="1">
      <c r="A5" s="58" t="inlineStr">
        <is>
          <t xml:space="preserve">  Email: daniel.warren@dutchbros.com</t>
        </is>
      </c>
    </row>
    <row r="6" ht="18" customHeight="1">
      <c r="A6" s="58" t="inlineStr">
        <is>
          <t>• Request written confirmation that Dutch Bros will NOT exercise ROFR above 6x EBITDA</t>
        </is>
      </c>
    </row>
    <row r="7" ht="18" customHeight="1">
      <c r="A7" s="58" t="inlineStr">
        <is>
          <t>• This written statement de-risks the deal entirely for PE buyers and family offices</t>
        </is>
      </c>
    </row>
    <row r="8" ht="18" customHeight="1">
      <c r="A8" s="58" t="inlineStr">
        <is>
          <t>• Dutch Bros has already publicly stated they will not match 6-8x — get it formalized</t>
        </is>
      </c>
    </row>
    <row r="9" ht="18" customHeight="1">
      <c r="A9" s="58" t="inlineStr">
        <is>
          <t>• Without this letter, sophisticated buyers will demand a larger break-up fee</t>
        </is>
      </c>
    </row>
    <row r="10"/>
    <row r="11" ht="22" customHeight="1">
      <c r="A11" s="16" t="inlineStr">
        <is>
          <t xml:space="preserve">  STEP 2:  Secure Stalking Horse LOI</t>
        </is>
      </c>
    </row>
    <row r="12" ht="18" customHeight="1">
      <c r="A12" s="59" t="inlineStr">
        <is>
          <t>• Primary Target: TriArtisan Capital Partners (Adam Gray, MP — agray@triartisan.com)</t>
        </is>
      </c>
    </row>
    <row r="13" ht="18" customHeight="1">
      <c r="A13" s="59" t="inlineStr">
        <is>
          <t>• Backup Target: Flynn Restaurant Group (Lorin Cortina, CFO — lcortina@flynnrg.com)</t>
        </is>
      </c>
    </row>
    <row r="14" ht="18" customHeight="1">
      <c r="A14" s="59" t="inlineStr">
        <is>
          <t>• LOI Terms:</t>
        </is>
      </c>
    </row>
    <row r="15" ht="18" customHeight="1">
      <c r="A15" s="59" t="inlineStr">
        <is>
          <t xml:space="preserve">    – Purchase Price: $94.5M (7.0x TTM Adj. EBITDA of $13.5M)</t>
        </is>
      </c>
    </row>
    <row r="16" ht="18" customHeight="1">
      <c r="A16" s="59" t="inlineStr">
        <is>
          <t xml:space="preserve">    – Exclusivity Period: 60 days</t>
        </is>
      </c>
    </row>
    <row r="17" ht="18" customHeight="1">
      <c r="A17" s="59" t="inlineStr">
        <is>
          <t xml:space="preserve">    – Break-Up Fee: 3% = $2.835M  (paid by SELLER if Dutch Bros exercises ROFR)</t>
        </is>
      </c>
    </row>
    <row r="18" ht="18" customHeight="1">
      <c r="A18" s="59" t="inlineStr">
        <is>
          <t>• Break-up fee rationale: compensates buyer for DD costs; ensures they engage despite ROFR risk</t>
        </is>
      </c>
    </row>
    <row r="19" ht="18" customHeight="1">
      <c r="A19" s="59" t="inlineStr">
        <is>
          <t>• Client worst case: Dutch Bros matches → client receives $54M + $2.835M = $56.835M minimum</t>
        </is>
      </c>
    </row>
    <row r="20" ht="18" customHeight="1">
      <c r="A20" s="59" t="inlineStr">
        <is>
          <t>• Best case: buyer closes at $94.5M → client nets 75% more than corporate offer</t>
        </is>
      </c>
    </row>
    <row r="21"/>
    <row r="22" ht="22" customHeight="1">
      <c r="A22" s="16" t="inlineStr">
        <is>
          <t xml:space="preserve">  STEP 3:  Submit LOI to Dutch Bros Corporate — Force the Decision</t>
        </is>
      </c>
    </row>
    <row r="23" ht="18" customHeight="1">
      <c r="A23" s="60" t="inlineStr">
        <is>
          <t>• Per franchise agreement ROFR clause, Dutch Bros has 30 days to match upon receipt of LOI</t>
        </is>
      </c>
    </row>
    <row r="24" ht="18" customHeight="1">
      <c r="A24" s="60" t="inlineStr">
        <is>
          <t>• Dutch Bros decision tree:</t>
        </is>
      </c>
    </row>
    <row r="25" ht="18" customHeight="1">
      <c r="A25" s="60" t="inlineStr">
        <is>
          <t xml:space="preserve">    OPTION A — Match at $94.5M: Pay 7x ($94.5M) → still a compelling deal at their 26.5x public multiple</t>
        </is>
      </c>
    </row>
    <row r="26" ht="18" customHeight="1">
      <c r="A26" s="60" t="inlineStr">
        <is>
          <t xml:space="preserve">    OPTION B — Pass: Deal closes to TriArtisan/Flynn → Dutch Bros loses asset</t>
        </is>
      </c>
    </row>
    <row r="27" ht="18" customHeight="1">
      <c r="A27" s="60" t="inlineStr">
        <is>
          <t>• Dutch Bros at 26.5x public EBITDA multiple (BROS stock): acquiring private EBITDA at 7x</t>
        </is>
      </c>
    </row>
    <row r="28" ht="18" customHeight="1">
      <c r="A28" s="60" t="inlineStr">
        <is>
          <t xml:space="preserve">  generates ~$292M in immediate enterprise value arbitrage on Day 1</t>
        </is>
      </c>
    </row>
    <row r="29" ht="18" customHeight="1">
      <c r="A29" s="60" t="inlineStr">
        <is>
          <t>• If Dutch Bros declines in writing → ROFR is neutralized → clean path to close</t>
        </is>
      </c>
    </row>
    <row r="30"/>
    <row r="31" ht="22" customHeight="1">
      <c r="A31" s="16" t="inlineStr">
        <is>
          <t xml:space="preserve">  STEP 4:  Marketing Timeline — Weeks to Close</t>
        </is>
      </c>
    </row>
    <row r="32" ht="18" customHeight="1">
      <c r="A32" s="61" t="inlineStr">
        <is>
          <t>• Week 1–2:   Execute NDAs with 8–10 qualified buyers from Buyer Target list</t>
        </is>
      </c>
    </row>
    <row r="33" ht="18" customHeight="1">
      <c r="A33" s="61" t="inlineStr">
        <is>
          <t>• Week 3–5:   Management presentations + data room access</t>
        </is>
      </c>
    </row>
    <row r="34" ht="18" customHeight="1">
      <c r="A34" s="61" t="inlineStr">
        <is>
          <t>• Week 6–8:   LOI deadline — collect bids; select stalking horse</t>
        </is>
      </c>
    </row>
    <row r="35" ht="18" customHeight="1">
      <c r="A35" s="61" t="inlineStr">
        <is>
          <t>• Week 9–16:  Exclusivity period + full due diligence</t>
        </is>
      </c>
    </row>
    <row r="36" ht="18" customHeight="1">
      <c r="A36" s="61" t="inlineStr">
        <is>
          <t>• Week 17–20: Documentation, ROFR notice, closing</t>
        </is>
      </c>
    </row>
    <row r="37" ht="18" customHeight="1">
      <c r="A37" s="61" t="inlineStr">
        <is>
          <t xml:space="preserve">  ──────────────────────────────────────────────────────────</t>
        </is>
      </c>
    </row>
    <row r="38" ht="18" customHeight="1">
      <c r="A38" s="61" t="inlineStr">
        <is>
          <t>• Total estimated timeline: 20 weeks from mandate to close</t>
        </is>
      </c>
    </row>
    <row r="39" ht="18" customHeight="1">
      <c r="A39" s="61" t="inlineStr">
        <is>
          <t>• Advisor: Jim O'Donnell, MD | Paulson Investment Company</t>
        </is>
      </c>
    </row>
    <row r="40"/>
  </sheetData>
  <mergeCells count="40">
    <mergeCell ref="A25:C25"/>
    <mergeCell ref="A37:C37"/>
    <mergeCell ref="A18:C18"/>
    <mergeCell ref="A27:C27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10:C10"/>
    <mergeCell ref="A28:C28"/>
    <mergeCell ref="A13:C13"/>
    <mergeCell ref="A19:C19"/>
    <mergeCell ref="A31:C31"/>
    <mergeCell ref="A40:C40"/>
    <mergeCell ref="A9:C9"/>
    <mergeCell ref="A30:C30"/>
    <mergeCell ref="A39:C39"/>
    <mergeCell ref="A34:C34"/>
    <mergeCell ref="A15:C15"/>
    <mergeCell ref="A24:C24"/>
    <mergeCell ref="A36:C36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16" customWidth="1" min="4" max="4"/>
    <col width="22" customWidth="1" min="5" max="5"/>
    <col width="20" customWidth="1" min="6" max="6"/>
    <col width="28" customWidth="1" min="7" max="7"/>
  </cols>
  <sheetData>
    <row r="1" ht="26" customHeight="1">
      <c r="A1" s="15" t="inlineStr">
        <is>
          <t>PROJECT ALPINE — OUTREACH TRACKER  (Live Deal Management)</t>
        </is>
      </c>
    </row>
    <row r="2">
      <c r="A2" s="3" t="inlineStr">
        <is>
          <t>Company</t>
        </is>
      </c>
      <c r="B2" s="3" t="inlineStr">
        <is>
          <t>Contact</t>
        </is>
      </c>
      <c r="C2" s="3" t="inlineStr">
        <is>
          <t>Email</t>
        </is>
      </c>
      <c r="D2" s="3" t="inlineStr">
        <is>
          <t>Outreach Date</t>
        </is>
      </c>
      <c r="E2" s="3" t="inlineStr">
        <is>
          <t>Response</t>
        </is>
      </c>
      <c r="F2" s="3" t="inlineStr">
        <is>
          <t>Status</t>
        </is>
      </c>
      <c r="G2" s="3" t="inlineStr">
        <is>
          <t>Next Step</t>
        </is>
      </c>
    </row>
    <row r="3">
      <c r="A3" s="30" t="inlineStr">
        <is>
          <t>Flynn Restaurant Group</t>
        </is>
      </c>
      <c r="B3" s="55" t="inlineStr">
        <is>
          <t>Lorin Cortina</t>
        </is>
      </c>
      <c r="C3" s="55" t="inlineStr">
        <is>
          <t>lcortina@flynnrg.com</t>
        </is>
      </c>
      <c r="D3" s="55" t="inlineStr"/>
      <c r="E3" s="55" t="inlineStr"/>
      <c r="F3" s="62" t="inlineStr">
        <is>
          <t>Not Yet Contacted</t>
        </is>
      </c>
      <c r="G3" s="55" t="inlineStr">
        <is>
          <t>Send NDA + Teaser</t>
        </is>
      </c>
    </row>
    <row r="4">
      <c r="A4" s="30" t="inlineStr">
        <is>
          <t>Sun Holdings</t>
        </is>
      </c>
      <c r="B4" s="55" t="inlineStr">
        <is>
          <t>Guillermo Perales</t>
        </is>
      </c>
      <c r="C4" s="55" t="inlineStr">
        <is>
          <t>gperales@sunholdings.com</t>
        </is>
      </c>
      <c r="D4" s="55" t="inlineStr"/>
      <c r="E4" s="55" t="inlineStr"/>
      <c r="F4" s="62" t="inlineStr">
        <is>
          <t>Not Yet Contacted</t>
        </is>
      </c>
      <c r="G4" s="55" t="inlineStr">
        <is>
          <t>Send NDA + Teaser</t>
        </is>
      </c>
    </row>
    <row r="5">
      <c r="A5" s="30" t="inlineStr">
        <is>
          <t>Tucker's Farm</t>
        </is>
      </c>
      <c r="B5" s="55" t="inlineStr">
        <is>
          <t>Tucker Family</t>
        </is>
      </c>
      <c r="C5" s="55" t="inlineStr">
        <is>
          <t>[verify via website]</t>
        </is>
      </c>
      <c r="D5" s="55" t="inlineStr"/>
      <c r="E5" s="55" t="inlineStr"/>
      <c r="F5" s="62" t="inlineStr">
        <is>
          <t>Not Yet Contacted</t>
        </is>
      </c>
      <c r="G5" s="55" t="inlineStr">
        <is>
          <t>Send NDA + Teaser</t>
        </is>
      </c>
    </row>
    <row r="6">
      <c r="A6" s="6" t="inlineStr">
        <is>
          <t>TriArtisan Capital Partners</t>
        </is>
      </c>
      <c r="B6" s="7" t="inlineStr">
        <is>
          <t>Adam Gray</t>
        </is>
      </c>
      <c r="C6" s="7" t="inlineStr">
        <is>
          <t>agray@triartisan.com</t>
        </is>
      </c>
      <c r="D6" s="7" t="inlineStr"/>
      <c r="E6" s="7" t="inlineStr"/>
      <c r="F6" s="63" t="inlineStr">
        <is>
          <t>Not Yet Contacted</t>
        </is>
      </c>
      <c r="G6" s="7" t="inlineStr">
        <is>
          <t>Send NDA + Teaser</t>
        </is>
      </c>
    </row>
    <row r="7">
      <c r="A7" s="6" t="inlineStr">
        <is>
          <t>Gauge Capital</t>
        </is>
      </c>
      <c r="B7" s="7" t="inlineStr">
        <is>
          <t>Jeff Fronterhouse</t>
        </is>
      </c>
      <c r="C7" s="7" t="inlineStr">
        <is>
          <t>jfronterhouse@gaugecapital.com</t>
        </is>
      </c>
      <c r="D7" s="7" t="inlineStr"/>
      <c r="E7" s="7" t="inlineStr"/>
      <c r="F7" s="63" t="inlineStr">
        <is>
          <t>Not Yet Contacted</t>
        </is>
      </c>
      <c r="G7" s="7" t="inlineStr">
        <is>
          <t>Send NDA + Teaser</t>
        </is>
      </c>
    </row>
    <row r="8">
      <c r="A8" s="6" t="inlineStr">
        <is>
          <t>L Catterton</t>
        </is>
      </c>
      <c r="B8" s="7" t="inlineStr">
        <is>
          <t>Michael Farello</t>
        </is>
      </c>
      <c r="C8" s="7" t="inlineStr">
        <is>
          <t>mfarello@lcatterton.com</t>
        </is>
      </c>
      <c r="D8" s="7" t="inlineStr"/>
      <c r="E8" s="7" t="inlineStr"/>
      <c r="F8" s="63" t="inlineStr">
        <is>
          <t>Not Yet Contacted</t>
        </is>
      </c>
      <c r="G8" s="7" t="inlineStr">
        <is>
          <t>Send NDA + Teaser</t>
        </is>
      </c>
    </row>
    <row r="9">
      <c r="A9" s="6" t="inlineStr">
        <is>
          <t>CapitalSpring</t>
        </is>
      </c>
      <c r="B9" s="7" t="inlineStr">
        <is>
          <t>Brent Esber</t>
        </is>
      </c>
      <c r="C9" s="7" t="inlineStr">
        <is>
          <t>besber@capitalspring.com</t>
        </is>
      </c>
      <c r="D9" s="7" t="inlineStr"/>
      <c r="E9" s="7" t="inlineStr"/>
      <c r="F9" s="63" t="inlineStr">
        <is>
          <t>Not Yet Contacted</t>
        </is>
      </c>
      <c r="G9" s="7" t="inlineStr">
        <is>
          <t>Send NDA + Teaser</t>
        </is>
      </c>
    </row>
    <row r="10">
      <c r="A10" s="6" t="inlineStr">
        <is>
          <t>Trive Capital</t>
        </is>
      </c>
      <c r="B10" s="7" t="inlineStr">
        <is>
          <t>Conner Searcy</t>
        </is>
      </c>
      <c r="C10" s="7" t="inlineStr">
        <is>
          <t>csearcy@trivecapital.com</t>
        </is>
      </c>
      <c r="D10" s="7" t="inlineStr"/>
      <c r="E10" s="7" t="inlineStr"/>
      <c r="F10" s="63" t="inlineStr">
        <is>
          <t>Not Yet Contacted</t>
        </is>
      </c>
      <c r="G10" s="7" t="inlineStr">
        <is>
          <t>Send NDA + Teaser</t>
        </is>
      </c>
    </row>
    <row r="11">
      <c r="A11" s="6" t="inlineStr">
        <is>
          <t>Peak Rock Capital</t>
        </is>
      </c>
      <c r="B11" s="7" t="inlineStr">
        <is>
          <t>M&amp;A Team</t>
        </is>
      </c>
      <c r="C11" s="7" t="inlineStr">
        <is>
          <t>info@peakrockcapital.com</t>
        </is>
      </c>
      <c r="D11" s="7" t="inlineStr"/>
      <c r="E11" s="7" t="inlineStr"/>
      <c r="F11" s="63" t="inlineStr">
        <is>
          <t>Not Yet Contacted</t>
        </is>
      </c>
      <c r="G11" s="7" t="inlineStr">
        <is>
          <t>Send NDA + Teaser</t>
        </is>
      </c>
    </row>
    <row r="12">
      <c r="A12" s="6" t="inlineStr">
        <is>
          <t>Goode Partners</t>
        </is>
      </c>
      <c r="B12" s="7" t="inlineStr">
        <is>
          <t>David Oddi</t>
        </is>
      </c>
      <c r="C12" s="7" t="inlineStr">
        <is>
          <t>doddi@goodepartners.com</t>
        </is>
      </c>
      <c r="D12" s="7" t="inlineStr"/>
      <c r="E12" s="7" t="inlineStr"/>
      <c r="F12" s="63" t="inlineStr">
        <is>
          <t>Not Yet Contacted</t>
        </is>
      </c>
      <c r="G12" s="7" t="inlineStr">
        <is>
          <t>Send NDA + Teaser</t>
        </is>
      </c>
    </row>
    <row r="13">
      <c r="A13" s="6" t="inlineStr">
        <is>
          <t>Riverside Company</t>
        </is>
      </c>
      <c r="B13" s="7" t="inlineStr">
        <is>
          <t>M&amp;A Team</t>
        </is>
      </c>
      <c r="C13" s="7" t="inlineStr">
        <is>
          <t>info@riversideco.com</t>
        </is>
      </c>
      <c r="D13" s="7" t="inlineStr"/>
      <c r="E13" s="7" t="inlineStr"/>
      <c r="F13" s="63" t="inlineStr">
        <is>
          <t>Not Yet Contacted</t>
        </is>
      </c>
      <c r="G13" s="7" t="inlineStr">
        <is>
          <t>Send NDA + Teaser</t>
        </is>
      </c>
    </row>
    <row r="14">
      <c r="A14" s="6" t="inlineStr">
        <is>
          <t>Brentwood Associates</t>
        </is>
      </c>
      <c r="B14" s="7" t="inlineStr">
        <is>
          <t>Corp Dev</t>
        </is>
      </c>
      <c r="C14" s="7" t="inlineStr">
        <is>
          <t>info@brentwoodassociates.com</t>
        </is>
      </c>
      <c r="D14" s="7" t="inlineStr"/>
      <c r="E14" s="7" t="inlineStr"/>
      <c r="F14" s="63" t="inlineStr">
        <is>
          <t>Not Yet Contacted</t>
        </is>
      </c>
      <c r="G14" s="7" t="inlineStr">
        <is>
          <t>Send NDA + Teaser</t>
        </is>
      </c>
    </row>
    <row r="15">
      <c r="A15" s="6" t="inlineStr">
        <is>
          <t>Trivest Partners</t>
        </is>
      </c>
      <c r="B15" s="7" t="inlineStr">
        <is>
          <t>Corp Dev</t>
        </is>
      </c>
      <c r="C15" s="7" t="inlineStr">
        <is>
          <t>info@trivest.com</t>
        </is>
      </c>
      <c r="D15" s="7" t="inlineStr"/>
      <c r="E15" s="7" t="inlineStr"/>
      <c r="F15" s="63" t="inlineStr">
        <is>
          <t>Not Yet Contacted</t>
        </is>
      </c>
      <c r="G15" s="7" t="inlineStr">
        <is>
          <t>Send NDA + Teaser</t>
        </is>
      </c>
    </row>
    <row r="16">
      <c r="A16" s="6" t="inlineStr">
        <is>
          <t>Orangewood Partners</t>
        </is>
      </c>
      <c r="B16" s="7" t="inlineStr">
        <is>
          <t>Corp Dev</t>
        </is>
      </c>
      <c r="C16" s="7" t="inlineStr">
        <is>
          <t>info@orangewoodpartners.com</t>
        </is>
      </c>
      <c r="D16" s="7" t="inlineStr"/>
      <c r="E16" s="7" t="inlineStr"/>
      <c r="F16" s="63" t="inlineStr">
        <is>
          <t>Not Yet Contacted</t>
        </is>
      </c>
      <c r="G16" s="7" t="inlineStr">
        <is>
          <t>Send NDA + Teaser</t>
        </is>
      </c>
    </row>
    <row r="17">
      <c r="A17" s="11" t="inlineStr">
        <is>
          <t>Endeavour Capital</t>
        </is>
      </c>
      <c r="B17" s="12" t="inlineStr">
        <is>
          <t>Wally Turner</t>
        </is>
      </c>
      <c r="C17" s="12" t="inlineStr">
        <is>
          <t>info@endeavourcapital.com</t>
        </is>
      </c>
      <c r="D17" s="12" t="inlineStr"/>
      <c r="E17" s="12" t="inlineStr"/>
      <c r="F17" s="64" t="inlineStr">
        <is>
          <t>Not Yet Contacted</t>
        </is>
      </c>
      <c r="G17" s="12" t="inlineStr">
        <is>
          <t>Send NDA + Teaser</t>
        </is>
      </c>
    </row>
    <row r="18">
      <c r="A18" s="11" t="inlineStr">
        <is>
          <t>Columbia Pacific Advisors</t>
        </is>
      </c>
      <c r="B18" s="12" t="inlineStr">
        <is>
          <t>M&amp;A Team</t>
        </is>
      </c>
      <c r="C18" s="12" t="inlineStr">
        <is>
          <t>info@columbiapacific.com</t>
        </is>
      </c>
      <c r="D18" s="12" t="inlineStr"/>
      <c r="E18" s="12" t="inlineStr"/>
      <c r="F18" s="64" t="inlineStr">
        <is>
          <t>Not Yet Contacted</t>
        </is>
      </c>
      <c r="G18" s="12" t="inlineStr">
        <is>
          <t>Send NDA + Teaser</t>
        </is>
      </c>
    </row>
    <row r="19">
      <c r="A19" s="11" t="inlineStr">
        <is>
          <t>Altair Advisers</t>
        </is>
      </c>
      <c r="B19" s="12" t="inlineStr">
        <is>
          <t>Corp Dev</t>
        </is>
      </c>
      <c r="C19" s="12" t="inlineStr">
        <is>
          <t>client@altairadvisers.com</t>
        </is>
      </c>
      <c r="D19" s="12" t="inlineStr"/>
      <c r="E19" s="12" t="inlineStr"/>
      <c r="F19" s="64" t="inlineStr">
        <is>
          <t>Not Yet Contacted</t>
        </is>
      </c>
      <c r="G19" s="12" t="inlineStr">
        <is>
          <t>Send NDA + Teaser</t>
        </is>
      </c>
    </row>
    <row r="20">
      <c r="A20" s="11" t="inlineStr">
        <is>
          <t>Veritas Financial</t>
        </is>
      </c>
      <c r="B20" s="12" t="inlineStr">
        <is>
          <t>Managing Dir</t>
        </is>
      </c>
      <c r="C20" s="12" t="inlineStr">
        <is>
          <t>info@veritasfinancial.com</t>
        </is>
      </c>
      <c r="D20" s="12" t="inlineStr"/>
      <c r="E20" s="12" t="inlineStr"/>
      <c r="F20" s="64" t="inlineStr">
        <is>
          <t>Not Yet Contacted</t>
        </is>
      </c>
      <c r="G20" s="12" t="inlineStr">
        <is>
          <t>Send NDA + Teaser</t>
        </is>
      </c>
    </row>
    <row r="21">
      <c r="A21" s="11" t="inlineStr">
        <is>
          <t>Lone Star Family Office</t>
        </is>
      </c>
      <c r="B21" s="12" t="inlineStr">
        <is>
          <t>LP Relations</t>
        </is>
      </c>
      <c r="C21" s="12" t="inlineStr">
        <is>
          <t>info@lonestarfamilyoffice.com</t>
        </is>
      </c>
      <c r="D21" s="12" t="inlineStr"/>
      <c r="E21" s="12" t="inlineStr"/>
      <c r="F21" s="64" t="inlineStr">
        <is>
          <t>Not Yet Contacted</t>
        </is>
      </c>
      <c r="G21" s="12" t="inlineStr">
        <is>
          <t>Send NDA + Teaser</t>
        </is>
      </c>
    </row>
    <row r="22">
      <c r="A22" s="11" t="inlineStr">
        <is>
          <t>Pacific Family Capital</t>
        </is>
      </c>
      <c r="B22" s="12" t="inlineStr">
        <is>
          <t>Contact</t>
        </is>
      </c>
      <c r="C22" s="12" t="inlineStr">
        <is>
          <t>info@pacificfamilycapital.com</t>
        </is>
      </c>
      <c r="D22" s="12" t="inlineStr"/>
      <c r="E22" s="12" t="inlineStr"/>
      <c r="F22" s="64" t="inlineStr">
        <is>
          <t>Not Yet Contacted</t>
        </is>
      </c>
      <c r="G22" s="12" t="inlineStr">
        <is>
          <t>Send NDA + Teaser</t>
        </is>
      </c>
    </row>
    <row r="23">
      <c r="A23" s="11" t="inlineStr">
        <is>
          <t>Sand Hill Global Advisors</t>
        </is>
      </c>
      <c r="B23" s="12" t="inlineStr">
        <is>
          <t>M&amp;A</t>
        </is>
      </c>
      <c r="C23" s="12" t="inlineStr">
        <is>
          <t>info@sandhillglobal.com</t>
        </is>
      </c>
      <c r="D23" s="12" t="inlineStr"/>
      <c r="E23" s="12" t="inlineStr"/>
      <c r="F23" s="64" t="inlineStr">
        <is>
          <t>Not Yet Contacted</t>
        </is>
      </c>
      <c r="G23" s="12" t="inlineStr">
        <is>
          <t>Send NDA + Teaser</t>
        </is>
      </c>
    </row>
    <row r="25">
      <c r="A25" s="52" t="inlineStr">
        <is>
          <t>COLOR KEY:  Green = Strategic Operators (P1)  |  Gold = Family Offices (P1)  |  Grey = PE Firms (P2)</t>
        </is>
      </c>
    </row>
  </sheetData>
  <mergeCells count="2"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2026-06-04T19:06:05Z</dcterms:created>
  <dcterms:modified xsi:type="dcterms:W3CDTF">2026-06-04T19:06:06Z</dcterms:modified>
</cp:coreProperties>
</file>